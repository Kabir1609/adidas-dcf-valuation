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1948fbe2e7b1f87/Desktop/"/>
    </mc:Choice>
  </mc:AlternateContent>
  <xr:revisionPtr revIDLastSave="38" documentId="8_{CEDDF902-563F-44E4-ABB4-1049207E92F8}" xr6:coauthVersionLast="47" xr6:coauthVersionMax="47" xr10:uidLastSave="{B766D7A7-2AB0-4615-9AC6-0E66E8B852F5}"/>
  <bookViews>
    <workbookView xWindow="-98" yWindow="-98" windowWidth="21795" windowHeight="13875" xr2:uid="{1699635E-A81D-4B9E-B64B-6F25523C34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" l="1"/>
  <c r="O6" i="1"/>
  <c r="O7" i="1"/>
  <c r="O8" i="1"/>
  <c r="O4" i="1"/>
  <c r="H19" i="1"/>
  <c r="H18" i="1"/>
  <c r="H17" i="1"/>
  <c r="H16" i="1"/>
  <c r="H15" i="1"/>
  <c r="N8" i="1"/>
  <c r="N7" i="1"/>
  <c r="N6" i="1"/>
  <c r="N5" i="1"/>
  <c r="N4" i="1"/>
  <c r="L6" i="1"/>
  <c r="L7" i="1"/>
  <c r="L8" i="1"/>
  <c r="L5" i="1"/>
  <c r="I8" i="1"/>
  <c r="K8" i="1" s="1"/>
  <c r="I5" i="1"/>
  <c r="K5" i="1" s="1"/>
  <c r="I6" i="1"/>
  <c r="K6" i="1" s="1"/>
  <c r="I7" i="1"/>
  <c r="K7" i="1" s="1"/>
  <c r="I4" i="1"/>
  <c r="K4" i="1" s="1"/>
  <c r="O10" i="1" l="1"/>
  <c r="M10" i="1"/>
  <c r="B15" i="1" s="1"/>
  <c r="B16" i="1" l="1"/>
  <c r="C15" i="1"/>
  <c r="D15" i="1" s="1"/>
  <c r="G15" i="1" s="1"/>
  <c r="I15" i="1" s="1"/>
  <c r="B17" i="1" l="1"/>
  <c r="C16" i="1"/>
  <c r="D16" i="1" s="1"/>
  <c r="G16" i="1" s="1"/>
  <c r="I16" i="1" s="1"/>
  <c r="B18" i="1" l="1"/>
  <c r="C17" i="1"/>
  <c r="D17" i="1" s="1"/>
  <c r="G17" i="1" s="1"/>
  <c r="I17" i="1" s="1"/>
  <c r="B19" i="1" l="1"/>
  <c r="C19" i="1" s="1"/>
  <c r="D19" i="1" s="1"/>
  <c r="G19" i="1" s="1"/>
  <c r="C18" i="1"/>
  <c r="D18" i="1" s="1"/>
  <c r="G18" i="1" s="1"/>
  <c r="I18" i="1" s="1"/>
  <c r="B26" i="1" l="1"/>
  <c r="B29" i="1" s="1"/>
  <c r="I19" i="1"/>
  <c r="B31" i="1" l="1"/>
  <c r="B36" i="1" s="1"/>
  <c r="B40" i="1" s="1"/>
</calcChain>
</file>

<file path=xl/sharedStrings.xml><?xml version="1.0" encoding="utf-8"?>
<sst xmlns="http://schemas.openxmlformats.org/spreadsheetml/2006/main" count="40" uniqueCount="37">
  <si>
    <t xml:space="preserve">Year </t>
  </si>
  <si>
    <t xml:space="preserve">Revenue </t>
  </si>
  <si>
    <t xml:space="preserve">Net income </t>
  </si>
  <si>
    <t xml:space="preserve">Depreciation </t>
  </si>
  <si>
    <t xml:space="preserve">Total debt </t>
  </si>
  <si>
    <t xml:space="preserve">EBIT </t>
  </si>
  <si>
    <t>Cash</t>
  </si>
  <si>
    <t>Cap EX</t>
  </si>
  <si>
    <t>Debt</t>
  </si>
  <si>
    <t xml:space="preserve">Tax rate </t>
  </si>
  <si>
    <t>Ebit after tax</t>
  </si>
  <si>
    <t xml:space="preserve">Revenue Growth </t>
  </si>
  <si>
    <t xml:space="preserve">Average Growth </t>
  </si>
  <si>
    <t>Revenue Forecast</t>
  </si>
  <si>
    <t xml:space="preserve"> </t>
  </si>
  <si>
    <t xml:space="preserve">Ebit Margin </t>
  </si>
  <si>
    <t>Average EBIT Margin</t>
  </si>
  <si>
    <t xml:space="preserve">EBIT Forecast </t>
  </si>
  <si>
    <t>EBIT after Tax</t>
  </si>
  <si>
    <t xml:space="preserve">Capex </t>
  </si>
  <si>
    <t xml:space="preserve">Free cash flow </t>
  </si>
  <si>
    <t xml:space="preserve">Discount Factor </t>
  </si>
  <si>
    <t>Present value of FCF</t>
  </si>
  <si>
    <t xml:space="preserve">Terminal Growth Rate </t>
  </si>
  <si>
    <t xml:space="preserve">Terminal Value </t>
  </si>
  <si>
    <t xml:space="preserve">Present value of terminal value </t>
  </si>
  <si>
    <t xml:space="preserve">Enterprise Value </t>
  </si>
  <si>
    <t xml:space="preserve">cash </t>
  </si>
  <si>
    <t xml:space="preserve">Equity value </t>
  </si>
  <si>
    <t xml:space="preserve">Shares outstanding </t>
  </si>
  <si>
    <t>WACC</t>
  </si>
  <si>
    <t xml:space="preserve">Depreciation  </t>
  </si>
  <si>
    <t xml:space="preserve">HISTORICAL FINANCIALS </t>
  </si>
  <si>
    <t xml:space="preserve">FORECAST ASSUMPTIONS </t>
  </si>
  <si>
    <r>
      <rPr>
        <b/>
        <sz val="11"/>
        <color theme="1"/>
        <rFont val="Aptos Narrow"/>
        <family val="2"/>
        <scheme val="minor"/>
      </rPr>
      <t>DCF VALAUTION</t>
    </r>
    <r>
      <rPr>
        <sz val="11"/>
        <color theme="1"/>
        <rFont val="Aptos Narrow"/>
        <family val="2"/>
        <scheme val="minor"/>
      </rPr>
      <t xml:space="preserve"> </t>
    </r>
  </si>
  <si>
    <r>
      <rPr>
        <b/>
        <sz val="11"/>
        <color theme="1"/>
        <rFont val="Aptos Narrow"/>
        <family val="2"/>
        <scheme val="minor"/>
      </rPr>
      <t>Intrinsic Value per share</t>
    </r>
    <r>
      <rPr>
        <sz val="11"/>
        <color theme="1"/>
        <rFont val="Aptos Narrow"/>
        <family val="2"/>
        <scheme val="minor"/>
      </rPr>
      <t xml:space="preserve"> </t>
    </r>
  </si>
  <si>
    <t>EBITDA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</si>
</sst>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43" fontId="0" fillId="0" borderId="0" xfId="1" applyFont="1"/>
    <xf numFmtId="43" fontId="0" fillId="0" borderId="0" xfId="1" quotePrefix="1" applyFont="1"/>
    <xf numFmtId="0" fontId="2" fillId="0" borderId="0" xfId="0" applyFont="1"/>
    <xf numFmtId="43" fontId="2" fillId="0" borderId="0" xfId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Revenue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Sheet1!$B$4:$B$8</c:f>
              <c:numCache>
                <c:formatCode>_(* #,##0.00_);_(* \(#,##0.00\);_(* "-"??_);_(@_)</c:formatCode>
                <c:ptCount val="5"/>
                <c:pt idx="0">
                  <c:v>19844</c:v>
                </c:pt>
                <c:pt idx="1">
                  <c:v>21234</c:v>
                </c:pt>
                <c:pt idx="2">
                  <c:v>22511</c:v>
                </c:pt>
                <c:pt idx="3">
                  <c:v>21427</c:v>
                </c:pt>
                <c:pt idx="4">
                  <c:v>23683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EA-4736-81C9-F532BB432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0484175"/>
        <c:axId val="1410484655"/>
      </c:lineChart>
      <c:catAx>
        <c:axId val="14104841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484655"/>
        <c:crosses val="autoZero"/>
        <c:auto val="1"/>
        <c:lblAlgn val="ctr"/>
        <c:lblOffset val="100"/>
        <c:noMultiLvlLbl val="0"/>
      </c:catAx>
      <c:valAx>
        <c:axId val="141048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484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Historical Free cash flow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Sheet1!$G$14</c:f>
              <c:strCache>
                <c:ptCount val="1"/>
                <c:pt idx="0">
                  <c:v> Free cash flow 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Sheet1!$G$15:$G$19</c:f>
              <c:numCache>
                <c:formatCode>_(* #,##0.00_);_(* \(#,##0.00\);_(* "-"??_);_(@_)</c:formatCode>
                <c:ptCount val="5"/>
                <c:pt idx="0">
                  <c:v>1284.4796642341787</c:v>
                </c:pt>
                <c:pt idx="1">
                  <c:v>1304.9630839753324</c:v>
                </c:pt>
                <c:pt idx="2">
                  <c:v>1327.342334632752</c:v>
                </c:pt>
                <c:pt idx="3">
                  <c:v>1351.7061976109248</c:v>
                </c:pt>
                <c:pt idx="4">
                  <c:v>1378.1476119307774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3F-41A3-9963-0C43E1F35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0402095"/>
        <c:axId val="1410392975"/>
      </c:lineChart>
      <c:catAx>
        <c:axId val="1410402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392975"/>
        <c:crosses val="autoZero"/>
        <c:auto val="1"/>
        <c:lblAlgn val="ctr"/>
        <c:lblOffset val="100"/>
        <c:noMultiLvlLbl val="0"/>
      </c:catAx>
      <c:valAx>
        <c:axId val="141039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402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5223600174978129"/>
          <c:y val="7.87037037037037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05336832895887"/>
          <c:y val="0.19486111111111112"/>
          <c:w val="0.8299466316710411"/>
          <c:h val="0.72125801983085447"/>
        </c:manualLayout>
      </c:layout>
      <c:lineChart>
        <c:grouping val="stacked"/>
        <c:varyColors val="0"/>
        <c:ser>
          <c:idx val="0"/>
          <c:order val="0"/>
          <c:tx>
            <c:strRef>
              <c:f>Sheet1!$O$3</c:f>
              <c:strCache>
                <c:ptCount val="1"/>
                <c:pt idx="0">
                  <c:v>EBITDA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Sheet1!$O$4:$O$8</c:f>
              <c:numCache>
                <c:formatCode>_(* #,##0.00_);_(* \(#,##0.00\);_(* "-"??_);_(@_)</c:formatCode>
                <c:ptCount val="5"/>
                <c:pt idx="0">
                  <c:v>1601</c:v>
                </c:pt>
                <c:pt idx="1">
                  <c:v>2986</c:v>
                </c:pt>
                <c:pt idx="2">
                  <c:v>1569</c:v>
                </c:pt>
                <c:pt idx="3">
                  <c:v>1178</c:v>
                </c:pt>
                <c:pt idx="4">
                  <c:v>2169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35-45F8-8349-BE6E343A4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0374735"/>
        <c:axId val="1410358415"/>
      </c:lineChart>
      <c:catAx>
        <c:axId val="1410374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358415"/>
        <c:crosses val="autoZero"/>
        <c:auto val="1"/>
        <c:lblAlgn val="ctr"/>
        <c:lblOffset val="100"/>
        <c:noMultiLvlLbl val="0"/>
      </c:catAx>
      <c:valAx>
        <c:axId val="141035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37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Forecasted Free cash flow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Sheet1!$G$14</c:f>
              <c:strCache>
                <c:ptCount val="1"/>
                <c:pt idx="0">
                  <c:v> Free cash flow 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Sheet1!$G$15:$G$19</c:f>
              <c:numCache>
                <c:formatCode>_(* #,##0.00_);_(* \(#,##0.00\);_(* "-"??_);_(@_)</c:formatCode>
                <c:ptCount val="5"/>
                <c:pt idx="0">
                  <c:v>1284.4796642341787</c:v>
                </c:pt>
                <c:pt idx="1">
                  <c:v>1304.9630839753324</c:v>
                </c:pt>
                <c:pt idx="2">
                  <c:v>1327.342334632752</c:v>
                </c:pt>
                <c:pt idx="3">
                  <c:v>1351.7061976109248</c:v>
                </c:pt>
                <c:pt idx="4">
                  <c:v>1378.1476119307774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BA-4F72-AC38-5AA59BC53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0486575"/>
        <c:axId val="1410482735"/>
      </c:lineChart>
      <c:catAx>
        <c:axId val="14104865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482735"/>
        <c:crosses val="autoZero"/>
        <c:auto val="1"/>
        <c:lblAlgn val="ctr"/>
        <c:lblOffset val="100"/>
        <c:noMultiLvlLbl val="0"/>
      </c:catAx>
      <c:valAx>
        <c:axId val="141048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486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1174</xdr:colOff>
      <xdr:row>23</xdr:row>
      <xdr:rowOff>33630</xdr:rowOff>
    </xdr:from>
    <xdr:to>
      <xdr:col>14</xdr:col>
      <xdr:colOff>369239</xdr:colOff>
      <xdr:row>38</xdr:row>
      <xdr:rowOff>42803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D788F2-DECF-A3B0-9E06-70D2B397E3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230480</xdr:colOff>
      <xdr:row>23</xdr:row>
      <xdr:rowOff>86546</xdr:rowOff>
    </xdr:from>
    <xdr:to>
      <xdr:col>9</xdr:col>
      <xdr:colOff>874887</xdr:colOff>
      <xdr:row>38</xdr:row>
      <xdr:rowOff>95719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3AF1F9D-6946-E0C9-AFB9-91BDDF1AEB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230479</xdr:colOff>
      <xdr:row>39</xdr:row>
      <xdr:rowOff>98306</xdr:rowOff>
    </xdr:from>
    <xdr:to>
      <xdr:col>9</xdr:col>
      <xdr:colOff>917221</xdr:colOff>
      <xdr:row>54</xdr:row>
      <xdr:rowOff>107479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A3CAAE8-D917-B867-D816-EB36AB7129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24693</xdr:colOff>
      <xdr:row>40</xdr:row>
      <xdr:rowOff>57149</xdr:rowOff>
    </xdr:from>
    <xdr:to>
      <xdr:col>14</xdr:col>
      <xdr:colOff>392758</xdr:colOff>
      <xdr:row>55</xdr:row>
      <xdr:rowOff>66321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CBA3796-494D-6558-02B1-3CF87F91B9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67E01-849D-4371-96CA-4ED55D311192}">
  <dimension ref="A1:O58"/>
  <sheetViews>
    <sheetView tabSelected="1" zoomScale="41" zoomScaleNormal="81" workbookViewId="0">
      <selection activeCell="N18" sqref="N18"/>
    </sheetView>
  </sheetViews>
  <sheetFormatPr defaultRowHeight="14.25" x14ac:dyDescent="0.45"/>
  <cols>
    <col min="1" max="1" width="24.53125" customWidth="1"/>
    <col min="2" max="2" width="15.1328125" customWidth="1"/>
    <col min="3" max="3" width="12.86328125" customWidth="1"/>
    <col min="4" max="4" width="13.9296875" customWidth="1"/>
    <col min="5" max="5" width="11.19921875" customWidth="1"/>
    <col min="7" max="7" width="12.33203125" customWidth="1"/>
    <col min="8" max="8" width="15.1328125" customWidth="1"/>
    <col min="9" max="10" width="18.3984375" customWidth="1"/>
    <col min="11" max="11" width="13.19921875" customWidth="1"/>
    <col min="12" max="12" width="14.6640625" customWidth="1"/>
    <col min="13" max="13" width="11.53125" customWidth="1"/>
    <col min="14" max="14" width="19.53125" customWidth="1"/>
  </cols>
  <sheetData>
    <row r="1" spans="1:15" x14ac:dyDescent="0.45">
      <c r="A1" s="3" t="s">
        <v>32</v>
      </c>
    </row>
    <row r="3" spans="1:15" x14ac:dyDescent="0.45">
      <c r="A3" t="s">
        <v>0</v>
      </c>
      <c r="B3" t="s">
        <v>1</v>
      </c>
      <c r="C3" t="s">
        <v>5</v>
      </c>
      <c r="D3" t="s">
        <v>2</v>
      </c>
      <c r="E3" t="s">
        <v>7</v>
      </c>
      <c r="F3" t="s">
        <v>6</v>
      </c>
      <c r="G3" t="s">
        <v>8</v>
      </c>
      <c r="H3" t="s">
        <v>9</v>
      </c>
      <c r="I3" t="s">
        <v>10</v>
      </c>
      <c r="J3" t="s">
        <v>31</v>
      </c>
      <c r="K3" t="s">
        <v>20</v>
      </c>
      <c r="L3" t="s">
        <v>11</v>
      </c>
      <c r="N3" t="s">
        <v>15</v>
      </c>
      <c r="O3" t="s">
        <v>36</v>
      </c>
    </row>
    <row r="4" spans="1:15" x14ac:dyDescent="0.45">
      <c r="A4">
        <v>2020</v>
      </c>
      <c r="B4" s="1">
        <v>19844</v>
      </c>
      <c r="C4" s="1">
        <v>751</v>
      </c>
      <c r="D4" s="1">
        <v>432</v>
      </c>
      <c r="E4" s="1">
        <v>836</v>
      </c>
      <c r="F4" s="1">
        <v>4610</v>
      </c>
      <c r="G4" s="1">
        <v>5000</v>
      </c>
      <c r="H4" s="1">
        <v>0.25</v>
      </c>
      <c r="I4" s="1">
        <f>C4*(1-H4)</f>
        <v>563.25</v>
      </c>
      <c r="J4" s="1">
        <v>850</v>
      </c>
      <c r="K4" s="1">
        <f>I4+J4-E4</f>
        <v>577.25</v>
      </c>
      <c r="L4" s="1"/>
      <c r="M4" s="1"/>
      <c r="N4" s="1">
        <f>C4/B4</f>
        <v>3.784519250151179E-2</v>
      </c>
      <c r="O4" s="5">
        <f>C4+J4</f>
        <v>1601</v>
      </c>
    </row>
    <row r="5" spans="1:15" x14ac:dyDescent="0.45">
      <c r="A5">
        <v>2020</v>
      </c>
      <c r="B5" s="1">
        <v>21234</v>
      </c>
      <c r="C5" s="1">
        <v>2116</v>
      </c>
      <c r="D5" s="1">
        <v>1492</v>
      </c>
      <c r="E5" s="1">
        <v>833</v>
      </c>
      <c r="F5" s="1">
        <v>3700</v>
      </c>
      <c r="G5" s="1">
        <v>5900</v>
      </c>
      <c r="H5" s="1">
        <v>0.25</v>
      </c>
      <c r="I5" s="1">
        <f t="shared" ref="I5:I7" si="0">C5*(1-H5)</f>
        <v>1587</v>
      </c>
      <c r="J5" s="1">
        <v>870</v>
      </c>
      <c r="K5" s="1">
        <f t="shared" ref="K5:K8" si="1">I5+J5-E5</f>
        <v>1624</v>
      </c>
      <c r="L5" s="1">
        <f>(B5-B4)/B4</f>
        <v>7.0046361620640998E-2</v>
      </c>
      <c r="M5" s="1"/>
      <c r="N5" s="1">
        <f>C5/B5</f>
        <v>9.9651502307619849E-2</v>
      </c>
      <c r="O5" s="5">
        <f t="shared" ref="O5:O8" si="2">C5+J5</f>
        <v>2986</v>
      </c>
    </row>
    <row r="6" spans="1:15" x14ac:dyDescent="0.45">
      <c r="A6">
        <v>2020</v>
      </c>
      <c r="B6" s="1">
        <v>22511</v>
      </c>
      <c r="C6" s="1">
        <v>669</v>
      </c>
      <c r="D6" s="1">
        <v>254</v>
      </c>
      <c r="E6" s="1">
        <v>962</v>
      </c>
      <c r="F6" s="1">
        <v>3200</v>
      </c>
      <c r="G6" s="1">
        <v>6400</v>
      </c>
      <c r="H6" s="1">
        <v>0.25</v>
      </c>
      <c r="I6" s="1">
        <f t="shared" si="0"/>
        <v>501.75</v>
      </c>
      <c r="J6" s="1">
        <v>900</v>
      </c>
      <c r="K6" s="1">
        <f t="shared" si="1"/>
        <v>439.75</v>
      </c>
      <c r="L6" s="1">
        <f t="shared" ref="L6:L8" si="3">(B6-B5)/B5</f>
        <v>6.0139399076952059E-2</v>
      </c>
      <c r="M6" s="1"/>
      <c r="N6" s="1">
        <f>C6/B6</f>
        <v>2.9718804140198125E-2</v>
      </c>
      <c r="O6" s="5">
        <f t="shared" si="2"/>
        <v>1569</v>
      </c>
    </row>
    <row r="7" spans="1:15" x14ac:dyDescent="0.45">
      <c r="A7">
        <v>2023</v>
      </c>
      <c r="B7" s="1">
        <v>21427</v>
      </c>
      <c r="C7" s="1">
        <v>268</v>
      </c>
      <c r="D7" s="1">
        <v>-58</v>
      </c>
      <c r="E7" s="1">
        <v>538</v>
      </c>
      <c r="F7" s="1">
        <v>2900</v>
      </c>
      <c r="G7" s="1">
        <v>6600</v>
      </c>
      <c r="H7" s="1">
        <v>0.25</v>
      </c>
      <c r="I7" s="1">
        <f t="shared" si="0"/>
        <v>201</v>
      </c>
      <c r="J7" s="1">
        <v>910</v>
      </c>
      <c r="K7" s="1">
        <f t="shared" si="1"/>
        <v>573</v>
      </c>
      <c r="L7" s="1">
        <f t="shared" si="3"/>
        <v>-4.8154235706987694E-2</v>
      </c>
      <c r="M7" s="1"/>
      <c r="N7" s="1">
        <f>C7/B7</f>
        <v>1.2507583889485229E-2</v>
      </c>
      <c r="O7" s="5">
        <f t="shared" si="2"/>
        <v>1178</v>
      </c>
    </row>
    <row r="8" spans="1:15" x14ac:dyDescent="0.45">
      <c r="A8">
        <v>2024</v>
      </c>
      <c r="B8" s="1">
        <v>23683</v>
      </c>
      <c r="C8" s="1">
        <v>1249</v>
      </c>
      <c r="D8" s="1">
        <v>756</v>
      </c>
      <c r="E8" s="1">
        <v>477</v>
      </c>
      <c r="F8" s="1">
        <v>3000</v>
      </c>
      <c r="G8" s="1">
        <v>6200</v>
      </c>
      <c r="H8" s="1">
        <v>0.25</v>
      </c>
      <c r="I8" s="1">
        <f>C8*(1-H8)</f>
        <v>936.75</v>
      </c>
      <c r="J8" s="1">
        <v>920</v>
      </c>
      <c r="K8" s="1">
        <f t="shared" si="1"/>
        <v>1379.75</v>
      </c>
      <c r="L8" s="1">
        <f t="shared" si="3"/>
        <v>0.1052877210995473</v>
      </c>
      <c r="M8" s="1"/>
      <c r="N8" s="1">
        <f>C8/B8</f>
        <v>5.2738251066165601E-2</v>
      </c>
      <c r="O8" s="5">
        <f t="shared" si="2"/>
        <v>2169</v>
      </c>
    </row>
    <row r="9" spans="1:15" x14ac:dyDescent="0.4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x14ac:dyDescent="0.45">
      <c r="B10" s="1"/>
      <c r="C10" s="1"/>
      <c r="D10" s="1"/>
      <c r="E10" s="1"/>
      <c r="F10" s="1"/>
      <c r="G10" s="1"/>
      <c r="H10" s="1"/>
      <c r="I10" s="1"/>
      <c r="J10" s="1"/>
      <c r="K10" s="1"/>
      <c r="L10" s="1" t="s">
        <v>12</v>
      </c>
      <c r="M10" s="1">
        <f>AVERAGE(L5:L8)</f>
        <v>4.6829811522538164E-2</v>
      </c>
      <c r="N10" s="1" t="s">
        <v>16</v>
      </c>
      <c r="O10">
        <f>AVERAGE(N4:N8)</f>
        <v>4.6492266780996119E-2</v>
      </c>
    </row>
    <row r="11" spans="1:15" x14ac:dyDescent="0.4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x14ac:dyDescent="0.45">
      <c r="A12" s="3" t="s">
        <v>33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5" x14ac:dyDescent="0.45">
      <c r="A13" s="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5" x14ac:dyDescent="0.45">
      <c r="A14" t="s">
        <v>0</v>
      </c>
      <c r="B14" s="1" t="s">
        <v>13</v>
      </c>
      <c r="C14" s="1" t="s">
        <v>17</v>
      </c>
      <c r="D14" s="1" t="s">
        <v>18</v>
      </c>
      <c r="E14" s="1" t="s">
        <v>3</v>
      </c>
      <c r="F14" s="1" t="s">
        <v>19</v>
      </c>
      <c r="G14" s="1" t="s">
        <v>20</v>
      </c>
      <c r="H14" s="1" t="s">
        <v>21</v>
      </c>
      <c r="I14" s="1" t="s">
        <v>22</v>
      </c>
      <c r="J14" s="1"/>
      <c r="K14" s="1"/>
      <c r="L14" s="1"/>
      <c r="M14" s="1"/>
      <c r="N14" s="1"/>
    </row>
    <row r="15" spans="1:15" x14ac:dyDescent="0.45">
      <c r="A15">
        <v>2025</v>
      </c>
      <c r="B15" s="1">
        <f>B8*(1+$M$10)</f>
        <v>24792.070426288268</v>
      </c>
      <c r="C15" s="2">
        <f>B15*$O$10</f>
        <v>1152.6395523122383</v>
      </c>
      <c r="D15" s="1">
        <f>C15*(1-$H$4)</f>
        <v>864.4796642341787</v>
      </c>
      <c r="E15" s="1">
        <v>920</v>
      </c>
      <c r="F15" s="1">
        <v>500</v>
      </c>
      <c r="G15" s="1">
        <f>D15+E15-F15</f>
        <v>1284.4796642341787</v>
      </c>
      <c r="H15" s="1">
        <f>1/(1+$B$23)^1</f>
        <v>0.9174311926605504</v>
      </c>
      <c r="I15" s="1">
        <f>G15*H15</f>
        <v>1178.421710306586</v>
      </c>
      <c r="J15" s="1"/>
      <c r="K15" s="1"/>
      <c r="L15" s="1"/>
      <c r="M15" s="1"/>
      <c r="N15" s="1"/>
    </row>
    <row r="16" spans="1:15" x14ac:dyDescent="0.45">
      <c r="A16">
        <v>2026</v>
      </c>
      <c r="B16" s="1">
        <f>B15*(1+$M$10)</f>
        <v>25953.078411604838</v>
      </c>
      <c r="C16" s="2">
        <f t="shared" ref="C16:C19" si="4">B16*$O$10</f>
        <v>1206.6174453004433</v>
      </c>
      <c r="D16" s="1">
        <f t="shared" ref="D16:D19" si="5">C16*(1-$H$4)</f>
        <v>904.96308397533244</v>
      </c>
      <c r="E16" s="1">
        <v>920</v>
      </c>
      <c r="F16" s="1">
        <v>520</v>
      </c>
      <c r="G16" s="1">
        <f t="shared" ref="G16:G19" si="6">D16+E16-F16</f>
        <v>1304.9630839753324</v>
      </c>
      <c r="H16" s="1">
        <f>1/(1+$B$23)^2</f>
        <v>0.84167999326655996</v>
      </c>
      <c r="I16" s="1">
        <f t="shared" ref="I16:I19" si="7">G16*H16</f>
        <v>1098.3613197334671</v>
      </c>
      <c r="J16" s="1"/>
      <c r="K16" s="1"/>
      <c r="L16" s="1"/>
      <c r="M16" s="1"/>
      <c r="N16" s="1"/>
    </row>
    <row r="17" spans="1:14" x14ac:dyDescent="0.45">
      <c r="A17">
        <v>2027</v>
      </c>
      <c r="B17" s="1">
        <f>B16*(1+$M$10)</f>
        <v>27168.456182049944</v>
      </c>
      <c r="C17" s="2">
        <f t="shared" si="4"/>
        <v>1263.1231128436693</v>
      </c>
      <c r="D17" s="1">
        <f t="shared" si="5"/>
        <v>947.342334632752</v>
      </c>
      <c r="E17" s="1">
        <v>920</v>
      </c>
      <c r="F17" s="1">
        <v>540</v>
      </c>
      <c r="G17" s="1">
        <f t="shared" si="6"/>
        <v>1327.342334632752</v>
      </c>
      <c r="H17" s="1">
        <f>1/(1+$B$23)^3</f>
        <v>0.77218348006106419</v>
      </c>
      <c r="I17" s="1">
        <f t="shared" si="7"/>
        <v>1024.9518231890961</v>
      </c>
      <c r="J17" s="1"/>
      <c r="K17" s="1"/>
      <c r="L17" s="1"/>
      <c r="M17" s="1"/>
      <c r="N17" s="1"/>
    </row>
    <row r="18" spans="1:14" x14ac:dyDescent="0.45">
      <c r="A18">
        <v>2028</v>
      </c>
      <c r="B18" s="1">
        <f>B17*(1+$M$10)</f>
        <v>28440.749864413676</v>
      </c>
      <c r="C18" s="2">
        <f t="shared" si="4"/>
        <v>1322.2749301478998</v>
      </c>
      <c r="D18" s="1">
        <f t="shared" si="5"/>
        <v>991.70619761092485</v>
      </c>
      <c r="E18" s="1">
        <v>920</v>
      </c>
      <c r="F18" s="1">
        <v>560</v>
      </c>
      <c r="G18" s="1">
        <f t="shared" si="6"/>
        <v>1351.7061976109248</v>
      </c>
      <c r="H18" s="1">
        <f>1/(1+$B$23)^4</f>
        <v>0.7084252110651964</v>
      </c>
      <c r="I18" s="1">
        <f t="shared" si="7"/>
        <v>957.58274834065355</v>
      </c>
      <c r="J18" s="1"/>
      <c r="K18" s="1"/>
      <c r="L18" s="1"/>
      <c r="M18" s="1"/>
      <c r="N18" s="1"/>
    </row>
    <row r="19" spans="1:14" x14ac:dyDescent="0.45">
      <c r="A19">
        <v>2029</v>
      </c>
      <c r="B19" s="1">
        <f>B18*(1+$M$10)</f>
        <v>29772.62482012382</v>
      </c>
      <c r="C19" s="2">
        <f t="shared" si="4"/>
        <v>1384.1968159077032</v>
      </c>
      <c r="D19" s="1">
        <f t="shared" si="5"/>
        <v>1038.1476119307774</v>
      </c>
      <c r="E19" s="1">
        <v>920</v>
      </c>
      <c r="F19" s="1">
        <v>580</v>
      </c>
      <c r="G19" s="1">
        <f t="shared" si="6"/>
        <v>1378.1476119307774</v>
      </c>
      <c r="H19" s="1">
        <f>1/(1+$B$23)^5</f>
        <v>0.64993138629834524</v>
      </c>
      <c r="I19" s="1">
        <f t="shared" si="7"/>
        <v>895.70138794592413</v>
      </c>
      <c r="J19" s="1"/>
      <c r="K19" s="1"/>
      <c r="L19" s="1"/>
      <c r="M19" s="1"/>
      <c r="N19" s="1"/>
    </row>
    <row r="20" spans="1:14" x14ac:dyDescent="0.4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45">
      <c r="A21" t="s">
        <v>34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4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45">
      <c r="A23" t="s">
        <v>30</v>
      </c>
      <c r="B23" s="1">
        <v>0.09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45">
      <c r="A24" t="s">
        <v>23</v>
      </c>
      <c r="B24" s="1">
        <v>2.5000000000000001E-2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4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45">
      <c r="A26" t="s">
        <v>24</v>
      </c>
      <c r="B26" s="1">
        <f>G19*(1+$B24)/($B23-$B$24)</f>
        <v>21732.327726600717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4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4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45">
      <c r="A29" t="s">
        <v>25</v>
      </c>
      <c r="B29" s="1">
        <f>B26*H19</f>
        <v>14124.52188683957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4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45">
      <c r="A31" s="3" t="s">
        <v>26</v>
      </c>
      <c r="B31" s="4">
        <f>SUM(I15:I19)+B29</f>
        <v>19279.540876355299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4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45">
      <c r="A33" t="s">
        <v>27</v>
      </c>
      <c r="B33" s="1">
        <v>3000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45">
      <c r="A34" t="s">
        <v>4</v>
      </c>
      <c r="B34" s="1">
        <v>6200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4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45">
      <c r="A36" s="3" t="s">
        <v>28</v>
      </c>
      <c r="B36" s="4">
        <f>B31+B33-B34</f>
        <v>16079.540876355299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4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45">
      <c r="A38" t="s">
        <v>29</v>
      </c>
      <c r="B38" s="1">
        <v>179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4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45">
      <c r="A40" t="s">
        <v>35</v>
      </c>
      <c r="B40" s="4">
        <f>B36/B38</f>
        <v>89.829837298074295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45">
      <c r="F41" t="s">
        <v>14</v>
      </c>
    </row>
    <row r="58" spans="1:1" x14ac:dyDescent="0.45">
      <c r="A58" t="s">
        <v>14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Kabir Rao</cp:lastModifiedBy>
  <dcterms:created xsi:type="dcterms:W3CDTF">2026-03-10T14:44:32Z</dcterms:created>
  <dcterms:modified xsi:type="dcterms:W3CDTF">2026-03-12T19:55:47Z</dcterms:modified>
</cp:coreProperties>
</file>